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sarijit\OneDrive\Desktop\"/>
    </mc:Choice>
  </mc:AlternateContent>
  <xr:revisionPtr revIDLastSave="0" documentId="13_ncr:1_{A3DD5C23-352D-4288-9695-90DEDA7A5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" l="1"/>
  <c r="M17" i="1"/>
  <c r="M16" i="1"/>
  <c r="G21" i="1"/>
  <c r="G16" i="1"/>
  <c r="G17" i="1"/>
  <c r="V7" i="1"/>
  <c r="G9" i="1" s="1"/>
  <c r="G10" i="1" s="1"/>
  <c r="P16" i="1" l="1"/>
  <c r="G18" i="1"/>
  <c r="G19" i="1"/>
  <c r="V8" i="1"/>
</calcChain>
</file>

<file path=xl/sharedStrings.xml><?xml version="1.0" encoding="utf-8"?>
<sst xmlns="http://schemas.openxmlformats.org/spreadsheetml/2006/main" count="22" uniqueCount="22">
  <si>
    <t>Cash Credit Loan Calculator</t>
  </si>
  <si>
    <t>SHG Loan Calculation Tool</t>
  </si>
  <si>
    <t>Loan Input</t>
  </si>
  <si>
    <t>Loan Tenure (Months):</t>
  </si>
  <si>
    <t>Annual Interest Rate%:</t>
  </si>
  <si>
    <t>Principle Amount(₹):</t>
  </si>
  <si>
    <t xml:space="preserve">Monthly Repayment(₹): </t>
  </si>
  <si>
    <t>Total Loan Amount(₹):</t>
  </si>
  <si>
    <t>Missed Repayment Months:</t>
  </si>
  <si>
    <t>Additional Interest Due(₹):</t>
  </si>
  <si>
    <t>Repaid Amount So Far (₹):</t>
  </si>
  <si>
    <t>New Loan Amount(₹):</t>
  </si>
  <si>
    <t>Total Loan Balance After New Loan(₹):</t>
  </si>
  <si>
    <t>Loan Inputs After Some Months</t>
  </si>
  <si>
    <t>Months passed:</t>
  </si>
  <si>
    <t>Total Amount To Pay(₹):</t>
  </si>
  <si>
    <t>Loan Tenure in months:</t>
  </si>
  <si>
    <t>New Repayment Amount(₹):</t>
  </si>
  <si>
    <t>Should Be repaid upto now(₹):</t>
  </si>
  <si>
    <t>Outstanding Principal(₹):</t>
  </si>
  <si>
    <t>Final Results</t>
  </si>
  <si>
    <t>*Only Fill the non-colored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</si>
</sst>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Rockwell"/>
      <family val="2"/>
      <scheme val="minor"/>
    </font>
    <font>
      <sz val="11"/>
      <color theme="1"/>
      <name val="Rockwell"/>
      <family val="2"/>
      <scheme val="minor"/>
    </font>
    <font>
      <sz val="11"/>
      <color theme="0"/>
      <name val="Rockwell"/>
      <family val="2"/>
      <scheme val="minor"/>
    </font>
    <font>
      <b/>
      <sz val="11"/>
      <color theme="1"/>
      <name val="Rockwell"/>
      <family val="2"/>
      <scheme val="minor"/>
    </font>
    <font>
      <sz val="12"/>
      <color theme="1"/>
      <name val="Rockwell"/>
      <family val="2"/>
      <scheme val="minor"/>
    </font>
    <font>
      <b/>
      <sz val="14"/>
      <color theme="1"/>
      <name val="Rockwell"/>
      <family val="2"/>
      <scheme val="minor"/>
    </font>
    <font>
      <sz val="14"/>
      <color theme="1"/>
      <name val="Rockwell"/>
      <family val="2"/>
      <scheme val="minor"/>
    </font>
    <font>
      <b/>
      <sz val="14"/>
      <color theme="0"/>
      <name val="Rockwell"/>
      <family val="2"/>
      <scheme val="minor"/>
    </font>
    <font>
      <b/>
      <sz val="16"/>
      <color theme="1"/>
      <name val="Rockwell"/>
      <family val="2"/>
      <scheme val="minor"/>
    </font>
    <font>
      <b/>
      <sz val="20"/>
      <color theme="0"/>
      <name val="Rockwel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4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/>
    <xf numFmtId="0" fontId="8" fillId="5" borderId="0" xfId="0" applyFont="1" applyFill="1" applyAlignment="1">
      <alignment horizontal="left"/>
    </xf>
    <xf numFmtId="1" fontId="6" fillId="0" borderId="1" xfId="0" applyNumberFormat="1" applyFont="1" applyBorder="1"/>
    <xf numFmtId="0" fontId="5" fillId="3" borderId="5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2" fontId="6" fillId="6" borderId="1" xfId="0" applyNumberFormat="1" applyFont="1" applyFill="1" applyBorder="1"/>
    <xf numFmtId="0" fontId="4" fillId="6" borderId="2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10" fontId="6" fillId="0" borderId="1" xfId="1" applyNumberFormat="1" applyFont="1" applyBorder="1"/>
    <xf numFmtId="0" fontId="2" fillId="0" borderId="0" xfId="0" applyFont="1"/>
    <xf numFmtId="2" fontId="0" fillId="0" borderId="1" xfId="0" applyNumberFormat="1" applyBorder="1"/>
    <xf numFmtId="2" fontId="0" fillId="0" borderId="0" xfId="0" applyNumberFormat="1" applyFont="1"/>
    <xf numFmtId="0" fontId="6" fillId="8" borderId="1" xfId="0" applyFont="1" applyFill="1" applyBorder="1" applyAlignment="1">
      <alignment horizontal="left"/>
    </xf>
    <xf numFmtId="2" fontId="6" fillId="8" borderId="1" xfId="0" applyNumberFormat="1" applyFont="1" applyFill="1" applyBorder="1" applyAlignment="1"/>
    <xf numFmtId="1" fontId="6" fillId="8" borderId="1" xfId="0" applyNumberFormat="1" applyFont="1" applyFill="1" applyBorder="1"/>
    <xf numFmtId="2" fontId="6" fillId="8" borderId="1" xfId="0" applyNumberFormat="1" applyFont="1" applyFill="1" applyBorder="1"/>
    <xf numFmtId="0" fontId="6" fillId="8" borderId="2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0" fillId="7" borderId="0" xfId="0" applyFill="1"/>
    <xf numFmtId="0" fontId="2" fillId="7" borderId="0" xfId="0" applyFont="1" applyFill="1" applyBorder="1"/>
    <xf numFmtId="0" fontId="8" fillId="7" borderId="0" xfId="0" applyFont="1" applyFill="1" applyBorder="1" applyAlignment="1">
      <alignment horizontal="left"/>
    </xf>
    <xf numFmtId="0" fontId="0" fillId="7" borderId="0" xfId="0" applyFill="1" applyBorder="1" applyAlignment="1"/>
    <xf numFmtId="0" fontId="6" fillId="7" borderId="0" xfId="0" applyFont="1" applyFill="1" applyBorder="1" applyAlignment="1">
      <alignment horizontal="left"/>
    </xf>
    <xf numFmtId="2" fontId="6" fillId="7" borderId="0" xfId="0" applyNumberFormat="1" applyFont="1" applyFill="1" applyBorder="1" applyAlignment="1"/>
    <xf numFmtId="1" fontId="6" fillId="7" borderId="0" xfId="0" applyNumberFormat="1" applyFont="1" applyFill="1" applyBorder="1"/>
    <xf numFmtId="2" fontId="6" fillId="7" borderId="0" xfId="0" applyNumberFormat="1" applyFont="1" applyFill="1" applyBorder="1"/>
    <xf numFmtId="0" fontId="2" fillId="7" borderId="0" xfId="0" applyFont="1" applyFill="1"/>
    <xf numFmtId="2" fontId="2" fillId="7" borderId="0" xfId="0" applyNumberFormat="1" applyFont="1" applyFill="1"/>
    <xf numFmtId="0" fontId="8" fillId="5" borderId="5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0" fontId="5" fillId="11" borderId="0" xfId="0" applyFont="1" applyFill="1" applyAlignment="1"/>
    <xf numFmtId="0" fontId="5" fillId="11" borderId="0" xfId="0" applyFont="1" applyFill="1" applyAlignment="1">
      <alignment horizontal="left"/>
    </xf>
    <xf numFmtId="0" fontId="4" fillId="11" borderId="0" xfId="0" applyFont="1" applyFill="1" applyBorder="1" applyAlignment="1">
      <alignment horizontal="left"/>
    </xf>
    <xf numFmtId="0" fontId="0" fillId="11" borderId="0" xfId="0" applyFill="1" applyBorder="1"/>
    <xf numFmtId="0" fontId="0" fillId="11" borderId="0" xfId="0" applyFill="1" applyBorder="1" applyAlignment="1"/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3" fillId="11" borderId="0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C7DC74D-1F72-46E1-82ED-027530F8FB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showGridLines="0" tabSelected="1" workbookViewId="0">
      <selection activeCell="R18" sqref="R18"/>
    </sheetView>
  </sheetViews>
  <sheetFormatPr defaultRowHeight="14.4" x14ac:dyDescent="0.25"/>
  <cols>
    <col min="7" max="7" width="11.5" customWidth="1"/>
    <col min="8" max="8" width="1.09765625" customWidth="1"/>
    <col min="11" max="11" width="12.09765625" customWidth="1"/>
    <col min="12" max="12" width="11.796875" customWidth="1"/>
    <col min="13" max="13" width="10.8984375" customWidth="1"/>
    <col min="22" max="22" width="12.5" customWidth="1"/>
  </cols>
  <sheetData>
    <row r="1" spans="1:23" ht="14.4" customHeight="1" x14ac:dyDescent="0.25">
      <c r="A1" s="43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23" ht="14.4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Q2" s="23"/>
      <c r="R2" s="23"/>
      <c r="S2" s="23"/>
      <c r="T2" s="23"/>
      <c r="U2" s="23"/>
      <c r="V2" s="23"/>
    </row>
    <row r="3" spans="1:23" ht="21" x14ac:dyDescent="0.4">
      <c r="A3" s="44" t="s">
        <v>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O3" s="13"/>
      <c r="P3" s="13"/>
      <c r="Q3" s="24"/>
      <c r="R3" s="25"/>
      <c r="S3" s="25"/>
      <c r="T3" s="25"/>
      <c r="U3" s="25"/>
      <c r="V3" s="25"/>
      <c r="W3" s="13"/>
    </row>
    <row r="4" spans="1:23" ht="17.399999999999999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O4" s="13"/>
      <c r="P4" s="13"/>
      <c r="Q4" s="24"/>
      <c r="R4" s="26"/>
      <c r="S4" s="27"/>
      <c r="T4" s="27"/>
      <c r="U4" s="27"/>
      <c r="V4" s="28"/>
      <c r="W4" s="13"/>
    </row>
    <row r="5" spans="1:23" ht="18" x14ac:dyDescent="0.35">
      <c r="A5" s="36"/>
      <c r="B5" s="6" t="s">
        <v>2</v>
      </c>
      <c r="C5" s="6"/>
      <c r="D5" s="6"/>
      <c r="E5" s="6"/>
      <c r="F5" s="6"/>
      <c r="G5" s="6"/>
      <c r="H5" s="38"/>
      <c r="I5" s="39"/>
      <c r="J5" s="39"/>
      <c r="K5" s="39"/>
      <c r="L5" s="39"/>
      <c r="M5" s="36"/>
      <c r="O5" s="13"/>
      <c r="P5" s="13"/>
      <c r="Q5" s="24"/>
      <c r="R5" s="26"/>
      <c r="S5" s="27"/>
      <c r="T5" s="27"/>
      <c r="U5" s="27"/>
      <c r="V5" s="29"/>
      <c r="W5" s="13"/>
    </row>
    <row r="6" spans="1:23" ht="17.399999999999999" x14ac:dyDescent="0.3">
      <c r="A6" s="36"/>
      <c r="B6" s="35" t="s">
        <v>5</v>
      </c>
      <c r="C6" s="35"/>
      <c r="D6" s="35"/>
      <c r="E6" s="35"/>
      <c r="F6" s="35"/>
      <c r="G6" s="5">
        <v>10000</v>
      </c>
      <c r="H6" s="36"/>
      <c r="I6" s="40"/>
      <c r="J6" s="40"/>
      <c r="K6" s="40"/>
      <c r="L6" s="41"/>
      <c r="M6" s="36"/>
      <c r="O6" s="13"/>
      <c r="P6" s="13"/>
      <c r="Q6" s="24"/>
      <c r="R6" s="26"/>
      <c r="S6" s="27"/>
      <c r="T6" s="27"/>
      <c r="U6" s="27"/>
      <c r="V6" s="30"/>
      <c r="W6" s="13"/>
    </row>
    <row r="7" spans="1:23" ht="17.399999999999999" x14ac:dyDescent="0.3">
      <c r="A7" s="36"/>
      <c r="B7" s="35" t="s">
        <v>4</v>
      </c>
      <c r="C7" s="35"/>
      <c r="D7" s="35"/>
      <c r="E7" s="35"/>
      <c r="F7" s="35"/>
      <c r="G7" s="12">
        <v>9.5000000000000001E-2</v>
      </c>
      <c r="H7" s="36"/>
      <c r="I7" s="40"/>
      <c r="J7" s="40"/>
      <c r="K7" s="40"/>
      <c r="L7" s="41"/>
      <c r="M7" s="36"/>
      <c r="O7" s="13"/>
      <c r="P7" s="13"/>
      <c r="Q7" s="31"/>
      <c r="R7" s="31"/>
      <c r="S7" s="31"/>
      <c r="T7" s="31"/>
      <c r="U7" s="31"/>
      <c r="V7" s="32">
        <f>G7/12</f>
        <v>7.9166666666666673E-3</v>
      </c>
      <c r="W7" s="13"/>
    </row>
    <row r="8" spans="1:23" ht="17.399999999999999" x14ac:dyDescent="0.3">
      <c r="A8" s="36"/>
      <c r="B8" s="35" t="s">
        <v>3</v>
      </c>
      <c r="C8" s="35"/>
      <c r="D8" s="35"/>
      <c r="E8" s="35"/>
      <c r="F8" s="35"/>
      <c r="G8" s="5">
        <v>24</v>
      </c>
      <c r="H8" s="36"/>
      <c r="I8" s="36"/>
      <c r="J8" s="36"/>
      <c r="K8" s="36"/>
      <c r="L8" s="36"/>
      <c r="M8" s="36"/>
      <c r="O8" s="13"/>
      <c r="P8" s="13"/>
      <c r="Q8" s="13"/>
      <c r="R8" s="13"/>
      <c r="S8" s="13"/>
      <c r="T8" s="13"/>
      <c r="U8" s="13"/>
      <c r="V8" s="13">
        <f xml:space="preserve"> ABS(FV(V7, E14 - E15, E9, E6))</f>
        <v>0</v>
      </c>
      <c r="W8" s="13"/>
    </row>
    <row r="9" spans="1:23" ht="17.399999999999999" x14ac:dyDescent="0.3">
      <c r="A9" s="36"/>
      <c r="B9" s="7" t="s">
        <v>6</v>
      </c>
      <c r="C9" s="7"/>
      <c r="D9" s="7"/>
      <c r="E9" s="7"/>
      <c r="F9" s="7"/>
      <c r="G9" s="8">
        <f>ABS(PMT(V7,G8,G6))</f>
        <v>459.14492988925315</v>
      </c>
      <c r="H9" s="36"/>
      <c r="I9" s="36"/>
      <c r="J9" s="36"/>
      <c r="K9" s="36"/>
      <c r="L9" s="36"/>
      <c r="M9" s="36"/>
      <c r="O9" s="13"/>
      <c r="P9" s="13"/>
      <c r="Q9" s="13"/>
      <c r="R9" s="13"/>
      <c r="S9" s="13"/>
      <c r="T9" s="13"/>
      <c r="U9" s="13"/>
      <c r="V9" s="13"/>
      <c r="W9" s="13"/>
    </row>
    <row r="10" spans="1:23" ht="17.399999999999999" x14ac:dyDescent="0.3">
      <c r="A10" s="36"/>
      <c r="B10" s="9" t="s">
        <v>15</v>
      </c>
      <c r="C10" s="10"/>
      <c r="D10" s="10"/>
      <c r="E10" s="10"/>
      <c r="F10" s="11"/>
      <c r="G10" s="8">
        <f>G8*G9</f>
        <v>11019.478317342076</v>
      </c>
      <c r="H10" s="36"/>
      <c r="I10" s="36"/>
      <c r="J10" s="36"/>
      <c r="K10" s="36"/>
      <c r="L10" s="36"/>
      <c r="M10" s="36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3.8" x14ac:dyDescent="0.25">
      <c r="A11" s="36"/>
      <c r="B11" s="37"/>
      <c r="C11" s="37"/>
      <c r="D11" s="37"/>
      <c r="E11" s="36"/>
      <c r="F11" s="36"/>
      <c r="G11" s="36"/>
      <c r="H11" s="36"/>
      <c r="I11" s="36"/>
      <c r="J11" s="36"/>
      <c r="K11" s="36"/>
      <c r="L11" s="36"/>
      <c r="M11" s="36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3.8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21" x14ac:dyDescent="0.4">
      <c r="A13" s="36"/>
      <c r="B13" s="4" t="s">
        <v>13</v>
      </c>
      <c r="C13" s="4"/>
      <c r="D13" s="4"/>
      <c r="E13" s="4"/>
      <c r="F13" s="4"/>
      <c r="G13" s="4"/>
      <c r="H13" s="36"/>
      <c r="I13" s="36"/>
      <c r="J13" s="36"/>
      <c r="K13" s="36"/>
      <c r="L13" s="36"/>
      <c r="M13" s="36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5" x14ac:dyDescent="0.25">
      <c r="A14" s="36"/>
      <c r="B14" s="34" t="s">
        <v>14</v>
      </c>
      <c r="C14" s="34"/>
      <c r="D14" s="34"/>
      <c r="E14" s="34"/>
      <c r="F14" s="34"/>
      <c r="G14" s="3">
        <v>6</v>
      </c>
      <c r="H14" s="36"/>
      <c r="I14" s="36"/>
      <c r="J14" s="36"/>
      <c r="K14" s="36"/>
      <c r="L14" s="36"/>
      <c r="M14" s="36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21" x14ac:dyDescent="0.4">
      <c r="A15" s="36"/>
      <c r="B15" s="34" t="s">
        <v>8</v>
      </c>
      <c r="C15" s="34"/>
      <c r="D15" s="34"/>
      <c r="E15" s="34"/>
      <c r="F15" s="34"/>
      <c r="G15" s="2">
        <v>2</v>
      </c>
      <c r="H15" s="36"/>
      <c r="I15" s="36"/>
      <c r="J15" s="33" t="s">
        <v>20</v>
      </c>
      <c r="K15" s="33"/>
      <c r="L15" s="33"/>
      <c r="M15" s="33"/>
      <c r="O15" s="13"/>
      <c r="P15" s="15"/>
      <c r="Q15" s="13"/>
      <c r="R15" s="13"/>
      <c r="S15" s="13"/>
      <c r="T15" s="13"/>
      <c r="U15" s="13"/>
      <c r="V15" s="13"/>
      <c r="W15" s="13"/>
    </row>
    <row r="16" spans="1:23" ht="17.399999999999999" x14ac:dyDescent="0.3">
      <c r="A16" s="36"/>
      <c r="B16" s="16" t="s">
        <v>9</v>
      </c>
      <c r="C16" s="16"/>
      <c r="D16" s="16"/>
      <c r="E16" s="16"/>
      <c r="F16" s="16"/>
      <c r="G16" s="19">
        <f>G17*(G14-G15)*G7/12</f>
        <v>267.9615135334314</v>
      </c>
      <c r="H16" s="36"/>
      <c r="I16" s="42"/>
      <c r="J16" s="22" t="s">
        <v>7</v>
      </c>
      <c r="K16" s="16"/>
      <c r="L16" s="16"/>
      <c r="M16" s="17">
        <f>G21</f>
        <v>10729.904046168107</v>
      </c>
      <c r="O16" s="13"/>
      <c r="P16" s="13">
        <f>G16*4*G7/12</f>
        <v>8.4854479285586617</v>
      </c>
      <c r="Q16" s="13"/>
      <c r="R16" s="13"/>
      <c r="S16" s="13"/>
      <c r="T16" s="13"/>
      <c r="U16" s="13"/>
      <c r="V16" s="13"/>
      <c r="W16" s="13"/>
    </row>
    <row r="17" spans="1:23" ht="17.399999999999999" x14ac:dyDescent="0.3">
      <c r="A17" s="36"/>
      <c r="B17" s="20" t="s">
        <v>19</v>
      </c>
      <c r="C17" s="21"/>
      <c r="D17" s="21"/>
      <c r="E17" s="21"/>
      <c r="F17" s="22"/>
      <c r="G17" s="19">
        <f>-FV(G7/12,G14-G15,-G9,G6)</f>
        <v>8461.9425326346754</v>
      </c>
      <c r="H17" s="42"/>
      <c r="I17" s="42"/>
      <c r="J17" s="22" t="s">
        <v>16</v>
      </c>
      <c r="K17" s="16"/>
      <c r="L17" s="16"/>
      <c r="M17" s="18">
        <f>G8-G14</f>
        <v>18</v>
      </c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7.399999999999999" x14ac:dyDescent="0.3">
      <c r="A18" s="36"/>
      <c r="B18" s="20" t="s">
        <v>18</v>
      </c>
      <c r="C18" s="21"/>
      <c r="D18" s="21"/>
      <c r="E18" s="21"/>
      <c r="F18" s="22"/>
      <c r="G18" s="19">
        <f>G14*G9</f>
        <v>2754.8695793355191</v>
      </c>
      <c r="H18" s="42"/>
      <c r="I18" s="42"/>
      <c r="J18" s="22" t="s">
        <v>17</v>
      </c>
      <c r="K18" s="16"/>
      <c r="L18" s="16"/>
      <c r="M18" s="19">
        <f>ABS(PMT(G7/12,M17,M16))</f>
        <v>641.93921512039185</v>
      </c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7.399999999999999" x14ac:dyDescent="0.3">
      <c r="A19" s="36"/>
      <c r="B19" s="16" t="s">
        <v>10</v>
      </c>
      <c r="C19" s="16"/>
      <c r="D19" s="16"/>
      <c r="E19" s="16"/>
      <c r="F19" s="16"/>
      <c r="G19" s="19">
        <f>G9*(G14-G15)</f>
        <v>1836.5797195570126</v>
      </c>
      <c r="H19" s="42"/>
      <c r="I19" s="40"/>
      <c r="J19" s="40"/>
      <c r="K19" s="40"/>
      <c r="L19" s="41"/>
      <c r="M19" s="36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5.6" x14ac:dyDescent="0.3">
      <c r="A20" s="36"/>
      <c r="B20" s="1" t="s">
        <v>11</v>
      </c>
      <c r="C20" s="1"/>
      <c r="D20" s="1"/>
      <c r="E20" s="1"/>
      <c r="F20" s="1"/>
      <c r="G20" s="2">
        <v>2000</v>
      </c>
      <c r="H20" s="42"/>
      <c r="I20" s="45" t="s">
        <v>21</v>
      </c>
      <c r="J20" s="45"/>
      <c r="K20" s="45"/>
      <c r="L20" s="41"/>
      <c r="M20" s="36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5" x14ac:dyDescent="0.25">
      <c r="A21" s="36"/>
      <c r="B21" s="1" t="s">
        <v>12</v>
      </c>
      <c r="C21" s="1"/>
      <c r="D21" s="1"/>
      <c r="E21" s="1"/>
      <c r="F21" s="1"/>
      <c r="G21" s="14">
        <f>G16+G17+G20</f>
        <v>10729.904046168107</v>
      </c>
      <c r="H21" s="42"/>
      <c r="I21" s="40"/>
      <c r="J21" s="40"/>
      <c r="K21" s="40"/>
      <c r="L21" s="41"/>
      <c r="M21" s="36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3.8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3.8" x14ac:dyDescent="0.25"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3.8" x14ac:dyDescent="0.25"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3.8" x14ac:dyDescent="0.25">
      <c r="O25" s="13"/>
      <c r="P25" s="13"/>
      <c r="Q25" s="13"/>
      <c r="R25" s="13"/>
      <c r="S25" s="13"/>
      <c r="T25" s="13"/>
      <c r="U25" s="13"/>
      <c r="V25" s="13"/>
      <c r="W25" s="13"/>
    </row>
  </sheetData>
  <mergeCells count="32">
    <mergeCell ref="A3:M3"/>
    <mergeCell ref="B18:F18"/>
    <mergeCell ref="B17:F17"/>
    <mergeCell ref="J16:L16"/>
    <mergeCell ref="J17:L17"/>
    <mergeCell ref="J18:L18"/>
    <mergeCell ref="J15:M15"/>
    <mergeCell ref="S4:U4"/>
    <mergeCell ref="S5:U5"/>
    <mergeCell ref="S6:U6"/>
    <mergeCell ref="I19:K19"/>
    <mergeCell ref="I20:K20"/>
    <mergeCell ref="I21:K21"/>
    <mergeCell ref="B5:G5"/>
    <mergeCell ref="I5:L5"/>
    <mergeCell ref="I6:K6"/>
    <mergeCell ref="I7:K7"/>
    <mergeCell ref="B15:F15"/>
    <mergeCell ref="B16:F16"/>
    <mergeCell ref="B19:F19"/>
    <mergeCell ref="B20:F20"/>
    <mergeCell ref="B21:F21"/>
    <mergeCell ref="B14:F14"/>
    <mergeCell ref="B13:G13"/>
    <mergeCell ref="R3:V3"/>
    <mergeCell ref="B11:D11"/>
    <mergeCell ref="B6:F6"/>
    <mergeCell ref="B7:F7"/>
    <mergeCell ref="B8:F8"/>
    <mergeCell ref="B9:F9"/>
    <mergeCell ref="B10:F10"/>
    <mergeCell ref="A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Sasarijit</dc:creator>
  <cp:lastModifiedBy>Arijit Kora</cp:lastModifiedBy>
  <dcterms:created xsi:type="dcterms:W3CDTF">2015-06-05T18:17:20Z</dcterms:created>
  <dcterms:modified xsi:type="dcterms:W3CDTF">2026-01-02T15:16:32Z</dcterms:modified>
</cp:coreProperties>
</file>